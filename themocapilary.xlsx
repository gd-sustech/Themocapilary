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36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BA5B73E20594B4B8C327FD5485EF0F8" descr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22520" y="709930"/>
          <a:ext cx="7003415" cy="3749040"/>
        </a:xfrm>
        <a:prstGeom prst="rect">
          <a:avLst/>
        </a:prstGeom>
      </xdr:spPr>
    </xdr:pic>
  </etc:cellImage>
  <etc:cellImage>
    <xdr:pic>
      <xdr:nvPicPr>
        <xdr:cNvPr id="4" name="ID_711258B0F3844E8B97FFE2AEC69C09BE" descr="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14600" y="91440"/>
          <a:ext cx="4549140" cy="5387340"/>
        </a:xfrm>
        <a:prstGeom prst="rect">
          <a:avLst/>
        </a:prstGeom>
      </xdr:spPr>
    </xdr:pic>
  </etc:cellImage>
  <etc:cellImage>
    <xdr:pic>
      <xdr:nvPicPr>
        <xdr:cNvPr id="6" name="ID_42E7516DB24A48CCB760696E66C4E197" descr="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724400" y="228600"/>
          <a:ext cx="4015740" cy="4800600"/>
        </a:xfrm>
        <a:prstGeom prst="rect">
          <a:avLst/>
        </a:prstGeom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<sst xmlns="http://schemas.openxmlformats.org/spreadsheetml/2006/main" count="12" uniqueCount="7">
  <si>
    <t>Time(s)</t>
  </si>
  <si>
    <t>Migration(mm)</t>
  </si>
  <si>
    <t>origin data(2^x)</t>
  </si>
  <si>
    <t>Tilt angle</t>
  </si>
  <si>
    <t>Average velocity</t>
  </si>
  <si>
    <t>theoretical</t>
  </si>
  <si>
    <t>experimental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</si>
</sst>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</numFmts>
  <fonts count="28">
    <font>
      <sz val="11"/>
      <color theme="1"/>
      <name val="宋体"/>
      <charset val="134"/>
      <scheme val="minor"/>
    </font>
    <font>
      <sz val="11"/>
      <color theme="9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theme="8"/>
      <name val="宋体"/>
      <charset val="134"/>
      <scheme val="minor"/>
    </font>
    <font>
      <sz val="11"/>
      <color theme="6" tint="-0.25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7" tint="-0.5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70C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workbookViewId="0">
      <selection activeCell="M8" sqref="M8"/>
    </sheetView>
  </sheetViews>
  <sheetFormatPr defaultColWidth="8.88461538461539" defaultRowHeight="16.8"/>
  <cols>
    <col min="1" max="1" width="13.8846153846154"/>
    <col min="2" max="2" width="16.5576923076923" customWidth="1"/>
    <col min="3" max="3" width="16.7788461538462" customWidth="1"/>
    <col min="6" max="6" width="13.8846153846154"/>
  </cols>
  <sheetData>
    <row r="1" spans="1:10">
      <c r="A1" s="1" t="s">
        <v>0</v>
      </c>
      <c r="B1" s="1" t="s">
        <v>1</v>
      </c>
      <c r="C1" t="s">
        <v>2</v>
      </c>
      <c r="D1" s="1" t="str">
        <f>_xlfn.DISPIMG("ID_9BA5B73E20594B4B8C327FD5485EF0F8",1)</f>
        <v>=DISPIMG("ID_9BA5B73E20594B4B8C327FD5485EF0F8",1)</v>
      </c>
      <c r="E1" s="1"/>
      <c r="F1" s="1"/>
      <c r="G1" s="1"/>
      <c r="H1" s="1"/>
      <c r="I1" s="1"/>
      <c r="J1" s="24"/>
    </row>
    <row r="2" spans="1:10">
      <c r="A2" s="20">
        <v>5</v>
      </c>
      <c r="B2" s="13" cm="1">
        <f t="array" ref="B2:B34">2^(C2:C34)</f>
        <v>7.69814048800377</v>
      </c>
      <c r="C2" s="20">
        <v>2.94451</v>
      </c>
      <c r="D2" s="1"/>
      <c r="E2" s="1"/>
      <c r="F2" s="1"/>
      <c r="G2" s="1"/>
      <c r="H2" s="1"/>
      <c r="I2" s="1"/>
      <c r="J2" s="24"/>
    </row>
    <row r="3" spans="1:10">
      <c r="A3" s="20">
        <v>10</v>
      </c>
      <c r="B3" s="13">
        <v>12.1066683719023</v>
      </c>
      <c r="C3" s="20">
        <v>3.59773</v>
      </c>
      <c r="D3" s="1"/>
      <c r="E3" s="1"/>
      <c r="F3" s="1"/>
      <c r="G3" s="1"/>
      <c r="H3" s="1"/>
      <c r="I3" s="1"/>
      <c r="J3" s="24"/>
    </row>
    <row r="4" spans="1:10">
      <c r="A4" s="20">
        <v>15</v>
      </c>
      <c r="B4" s="13">
        <v>16.7688285222654</v>
      </c>
      <c r="C4" s="20">
        <v>4.06771</v>
      </c>
      <c r="D4" s="1"/>
      <c r="E4" s="1"/>
      <c r="F4" s="1"/>
      <c r="G4" s="1"/>
      <c r="H4" s="1"/>
      <c r="I4" s="1"/>
      <c r="J4" s="24"/>
    </row>
    <row r="5" spans="1:11">
      <c r="A5" s="21">
        <v>5</v>
      </c>
      <c r="B5" s="22">
        <v>4.05125809988757</v>
      </c>
      <c r="C5" s="21">
        <v>2.01837</v>
      </c>
      <c r="D5" s="1"/>
      <c r="E5" s="1"/>
      <c r="F5" s="1"/>
      <c r="G5" s="1"/>
      <c r="H5" s="1"/>
      <c r="I5" s="1"/>
      <c r="J5" s="22">
        <v>4.05125809988757</v>
      </c>
      <c r="K5" s="19">
        <v>3.01077</v>
      </c>
    </row>
    <row r="6" spans="1:11">
      <c r="A6" s="21">
        <v>10</v>
      </c>
      <c r="B6" s="22">
        <v>7.39259050047006</v>
      </c>
      <c r="C6" s="21">
        <v>2.88608</v>
      </c>
      <c r="D6" s="1"/>
      <c r="E6" s="1"/>
      <c r="F6" s="1"/>
      <c r="G6" s="1"/>
      <c r="H6" s="1"/>
      <c r="I6" s="1"/>
      <c r="J6" s="22">
        <v>7.39259050047006</v>
      </c>
      <c r="K6" s="19">
        <v>5.81585</v>
      </c>
    </row>
    <row r="7" spans="1:11">
      <c r="A7" s="21">
        <v>15</v>
      </c>
      <c r="B7" s="22">
        <v>9.45449237547492</v>
      </c>
      <c r="C7" s="21">
        <v>3.241</v>
      </c>
      <c r="D7" s="1"/>
      <c r="E7" s="1"/>
      <c r="F7" s="1"/>
      <c r="G7" s="1"/>
      <c r="H7" s="1"/>
      <c r="I7" s="1"/>
      <c r="J7" s="22">
        <v>9.45449237547492</v>
      </c>
      <c r="K7" s="19">
        <v>8.11922</v>
      </c>
    </row>
    <row r="8" spans="1:11">
      <c r="A8" s="21">
        <v>20</v>
      </c>
      <c r="B8" s="22">
        <v>11.6704638669623</v>
      </c>
      <c r="C8" s="21">
        <v>3.54479</v>
      </c>
      <c r="D8" s="1"/>
      <c r="E8" s="1"/>
      <c r="F8" s="1"/>
      <c r="G8" s="1"/>
      <c r="H8" s="1"/>
      <c r="I8" s="1"/>
      <c r="J8" s="22">
        <v>11.6704638669623</v>
      </c>
      <c r="K8" s="19">
        <v>10.48948</v>
      </c>
    </row>
    <row r="9" spans="1:11">
      <c r="A9" s="21">
        <v>25</v>
      </c>
      <c r="B9" s="22">
        <v>13.4994619349795</v>
      </c>
      <c r="C9" s="21">
        <v>3.75483</v>
      </c>
      <c r="D9" s="1"/>
      <c r="E9" s="1"/>
      <c r="F9" s="1"/>
      <c r="G9" s="1"/>
      <c r="H9" s="1"/>
      <c r="I9" s="1"/>
      <c r="J9" s="22">
        <v>13.4994619349795</v>
      </c>
      <c r="K9" s="19">
        <v>12.45838</v>
      </c>
    </row>
    <row r="10" spans="1:11">
      <c r="A10" s="21">
        <v>30</v>
      </c>
      <c r="B10" s="22">
        <v>15.0861210284912</v>
      </c>
      <c r="C10" s="21">
        <v>3.91515</v>
      </c>
      <c r="D10" s="1"/>
      <c r="E10" s="1"/>
      <c r="F10" s="1"/>
      <c r="G10" s="1"/>
      <c r="H10" s="1"/>
      <c r="I10" s="1"/>
      <c r="J10" s="22">
        <v>15.0861210284912</v>
      </c>
      <c r="K10" s="19">
        <v>14.28792</v>
      </c>
    </row>
    <row r="11" spans="1:10">
      <c r="A11" s="17">
        <v>5</v>
      </c>
      <c r="B11" s="18">
        <v>1.62631869832976</v>
      </c>
      <c r="C11" s="23">
        <v>0.70161</v>
      </c>
      <c r="D11" s="24"/>
      <c r="E11" s="24"/>
      <c r="F11" s="24"/>
      <c r="G11" s="24"/>
      <c r="H11" s="24"/>
      <c r="I11" s="24"/>
      <c r="J11" s="24"/>
    </row>
    <row r="12" spans="1:6">
      <c r="A12" s="17">
        <v>10</v>
      </c>
      <c r="B12" s="18">
        <v>3.54655912723831</v>
      </c>
      <c r="C12" s="23">
        <v>1.82642</v>
      </c>
      <c r="D12" s="24"/>
      <c r="E12" s="24"/>
      <c r="F12" s="24"/>
    </row>
    <row r="13" spans="1:6">
      <c r="A13" s="17">
        <v>15</v>
      </c>
      <c r="B13" s="18">
        <v>5.3516360292017</v>
      </c>
      <c r="C13" s="23">
        <v>2.41998</v>
      </c>
      <c r="D13" s="24"/>
      <c r="E13" s="24"/>
      <c r="F13" s="24"/>
    </row>
    <row r="14" spans="1:3">
      <c r="A14" s="17">
        <v>20</v>
      </c>
      <c r="B14" s="18">
        <v>7.26080747813071</v>
      </c>
      <c r="C14" s="23">
        <v>2.86013</v>
      </c>
    </row>
    <row r="15" spans="1:3">
      <c r="A15" s="17">
        <v>25</v>
      </c>
      <c r="B15" s="18">
        <v>9.0513312736393</v>
      </c>
      <c r="C15" s="23">
        <v>3.17813</v>
      </c>
    </row>
    <row r="16" spans="1:3">
      <c r="A16" s="17">
        <v>29.97104</v>
      </c>
      <c r="B16" s="18">
        <v>10.9333226552875</v>
      </c>
      <c r="C16" s="23">
        <v>3.45066</v>
      </c>
    </row>
    <row r="17" spans="1:3">
      <c r="A17" s="17">
        <v>34.97737</v>
      </c>
      <c r="B17" s="18">
        <v>12.7593240814876</v>
      </c>
      <c r="C17" s="23">
        <v>3.67348</v>
      </c>
    </row>
    <row r="18" spans="1:3">
      <c r="A18" s="17">
        <v>40.0055</v>
      </c>
      <c r="B18" s="18">
        <v>14.3859640612981</v>
      </c>
      <c r="C18" s="23">
        <v>3.84659</v>
      </c>
    </row>
    <row r="19" spans="1:3">
      <c r="A19" s="17">
        <v>45.00069</v>
      </c>
      <c r="B19" s="18">
        <v>15.7943865593291</v>
      </c>
      <c r="C19" s="23">
        <v>3.98134</v>
      </c>
    </row>
    <row r="20" spans="1:3">
      <c r="A20" s="25">
        <v>4.95671</v>
      </c>
      <c r="B20" s="26">
        <v>1.18328697197609</v>
      </c>
      <c r="C20" s="1">
        <v>0.2428</v>
      </c>
    </row>
    <row r="21" spans="1:3">
      <c r="A21" s="25">
        <v>9.99756</v>
      </c>
      <c r="B21" s="26">
        <v>2.33158334287689</v>
      </c>
      <c r="C21" s="1">
        <v>1.22131</v>
      </c>
    </row>
    <row r="22" spans="1:3">
      <c r="A22" s="25">
        <v>14.96089</v>
      </c>
      <c r="B22" s="26">
        <v>3.51827926031024</v>
      </c>
      <c r="C22" s="1">
        <v>1.81487</v>
      </c>
    </row>
    <row r="23" spans="1:3">
      <c r="A23" s="25">
        <v>19.98964</v>
      </c>
      <c r="B23" s="26">
        <v>4.83487972194647</v>
      </c>
      <c r="C23" s="1">
        <v>2.27348</v>
      </c>
    </row>
    <row r="24" spans="1:3">
      <c r="A24" s="25">
        <v>24.98526</v>
      </c>
      <c r="B24" s="26">
        <v>6.0927772633151</v>
      </c>
      <c r="C24" s="1">
        <v>2.6071</v>
      </c>
    </row>
    <row r="25" spans="1:3">
      <c r="A25" s="25">
        <v>29.94788</v>
      </c>
      <c r="B25" s="26">
        <v>7.33796488118921</v>
      </c>
      <c r="C25" s="1">
        <v>2.87538</v>
      </c>
    </row>
    <row r="26" spans="1:3">
      <c r="A26" s="25">
        <v>34.96509</v>
      </c>
      <c r="B26" s="26">
        <v>8.37999858314603</v>
      </c>
      <c r="C26" s="1">
        <v>3.06695</v>
      </c>
    </row>
    <row r="27" spans="1:3">
      <c r="A27" s="25">
        <v>39.98228</v>
      </c>
      <c r="B27" s="26">
        <v>9.47627456669697</v>
      </c>
      <c r="C27" s="1">
        <v>3.24432</v>
      </c>
    </row>
    <row r="28" spans="1:3">
      <c r="A28" s="25">
        <v>44.9884</v>
      </c>
      <c r="B28" s="26">
        <v>10.3631450542789</v>
      </c>
      <c r="C28" s="1">
        <v>3.37339</v>
      </c>
    </row>
    <row r="29" spans="1:3">
      <c r="A29" s="25">
        <v>49.98359</v>
      </c>
      <c r="B29" s="26">
        <v>11.3889275857081</v>
      </c>
      <c r="C29" s="1">
        <v>3.50956</v>
      </c>
    </row>
    <row r="30" spans="1:3">
      <c r="A30" s="25">
        <v>54.98963</v>
      </c>
      <c r="B30" s="26">
        <v>12.1519842501151</v>
      </c>
      <c r="C30" s="1">
        <v>3.60312</v>
      </c>
    </row>
    <row r="31" spans="1:3">
      <c r="A31" s="25">
        <v>60.00665</v>
      </c>
      <c r="B31" s="26">
        <v>13.017405243812</v>
      </c>
      <c r="C31" s="1">
        <v>3.70237</v>
      </c>
    </row>
    <row r="32" spans="1:3">
      <c r="A32" s="25">
        <v>64.9798</v>
      </c>
      <c r="B32" s="26">
        <v>13.7263867106248</v>
      </c>
      <c r="C32" s="1">
        <v>3.77888</v>
      </c>
    </row>
    <row r="33" spans="1:3">
      <c r="A33" s="25">
        <v>69.99672</v>
      </c>
      <c r="B33" s="26">
        <v>14.2899602676262</v>
      </c>
      <c r="C33" s="1">
        <v>3.83693</v>
      </c>
    </row>
    <row r="34" spans="1:3">
      <c r="A34" s="25">
        <v>74.99174</v>
      </c>
      <c r="B34" s="26">
        <v>14.9206657087112</v>
      </c>
      <c r="C34" s="1">
        <v>3.89924</v>
      </c>
    </row>
  </sheetData>
  <mergeCells count="1">
    <mergeCell ref="D1:I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opLeftCell="A2" workbookViewId="0">
      <selection activeCell="B38" sqref="B38:B43"/>
    </sheetView>
  </sheetViews>
  <sheetFormatPr defaultColWidth="8.88461538461539" defaultRowHeight="16.8" outlineLevelCol="7"/>
  <cols>
    <col min="1" max="1" width="15.7788461538462" customWidth="1"/>
    <col min="2" max="2" width="15.4423076923077" customWidth="1"/>
    <col min="3" max="3" width="11.7211538461538"/>
    <col min="4" max="4" width="14.4423076923077" customWidth="1"/>
    <col min="5" max="5" width="16.5576923076923" customWidth="1"/>
  </cols>
  <sheetData>
    <row r="1" spans="1:8">
      <c r="A1" s="1" t="s">
        <v>0</v>
      </c>
      <c r="B1" s="1" t="s">
        <v>1</v>
      </c>
      <c r="C1" s="1" t="str">
        <f>_xlfn.DISPIMG("ID_711258B0F3844E8B97FFE2AEC69C09BE",1)</f>
        <v>=DISPIMG("ID_711258B0F3844E8B97FFE2AEC69C09BE",1)</v>
      </c>
      <c r="D1" s="1"/>
      <c r="E1" s="1"/>
      <c r="F1" s="1"/>
      <c r="G1" s="1"/>
      <c r="H1" s="1"/>
    </row>
    <row r="2" spans="1:8">
      <c r="A2" s="8">
        <v>4.98846</v>
      </c>
      <c r="B2" s="9">
        <v>0.20681</v>
      </c>
      <c r="C2" s="1"/>
      <c r="D2" s="1"/>
      <c r="E2" s="1"/>
      <c r="F2" s="1"/>
      <c r="G2" s="1"/>
      <c r="H2" s="1"/>
    </row>
    <row r="3" spans="1:8">
      <c r="A3" s="8">
        <v>9.94795</v>
      </c>
      <c r="B3" s="9">
        <v>0.24137</v>
      </c>
      <c r="C3" s="1"/>
      <c r="D3" s="1"/>
      <c r="E3" s="1"/>
      <c r="F3" s="1"/>
      <c r="G3" s="1"/>
      <c r="H3" s="1"/>
    </row>
    <row r="4" spans="1:8">
      <c r="A4" s="8">
        <v>14.93639</v>
      </c>
      <c r="B4" s="9">
        <v>0.24805</v>
      </c>
      <c r="C4" s="1"/>
      <c r="D4" s="1"/>
      <c r="E4" s="1"/>
      <c r="F4" s="1"/>
      <c r="G4" s="1"/>
      <c r="H4" s="1"/>
    </row>
    <row r="5" spans="1:8">
      <c r="A5" s="8">
        <v>19.92484</v>
      </c>
      <c r="B5" s="9">
        <v>0.24359</v>
      </c>
      <c r="C5" s="1"/>
      <c r="D5" s="1"/>
      <c r="E5" s="1"/>
      <c r="F5" s="1"/>
      <c r="G5" s="1"/>
      <c r="H5" s="1"/>
    </row>
    <row r="6" spans="1:8">
      <c r="A6" s="8">
        <v>24.91323</v>
      </c>
      <c r="B6" s="9">
        <v>0.27258</v>
      </c>
      <c r="C6" s="1"/>
      <c r="D6" s="1"/>
      <c r="E6" s="1"/>
      <c r="F6" s="1"/>
      <c r="G6" s="1"/>
      <c r="H6" s="1"/>
    </row>
    <row r="7" spans="1:8">
      <c r="A7" s="8">
        <v>29.86306</v>
      </c>
      <c r="B7" s="9">
        <v>0.335</v>
      </c>
      <c r="C7" s="1"/>
      <c r="D7" s="1"/>
      <c r="E7" s="1"/>
      <c r="F7" s="1"/>
      <c r="G7" s="1"/>
      <c r="H7" s="1"/>
    </row>
    <row r="8" spans="1:8">
      <c r="A8" s="10">
        <v>5.00766</v>
      </c>
      <c r="B8" s="11">
        <v>0.24027</v>
      </c>
      <c r="C8" s="1"/>
      <c r="D8" s="1"/>
      <c r="E8" s="1"/>
      <c r="F8" s="1"/>
      <c r="G8" s="1"/>
      <c r="H8" s="1"/>
    </row>
    <row r="9" spans="1:8">
      <c r="A9" s="10">
        <v>9.93821</v>
      </c>
      <c r="B9" s="11">
        <v>0.31383</v>
      </c>
      <c r="C9" s="1"/>
      <c r="D9" s="1"/>
      <c r="E9" s="1"/>
      <c r="F9" s="1"/>
      <c r="G9" s="1"/>
      <c r="H9" s="1"/>
    </row>
    <row r="10" spans="1:8">
      <c r="A10" s="10">
        <v>14.90732</v>
      </c>
      <c r="B10" s="11">
        <v>0.35954</v>
      </c>
      <c r="C10" s="1"/>
      <c r="D10" s="1"/>
      <c r="E10" s="1"/>
      <c r="F10" s="1"/>
      <c r="G10" s="1"/>
      <c r="H10" s="1"/>
    </row>
    <row r="11" spans="1:8">
      <c r="A11" s="10">
        <v>19.8764</v>
      </c>
      <c r="B11" s="11">
        <v>0.42196</v>
      </c>
      <c r="C11" s="1"/>
      <c r="D11" s="1"/>
      <c r="E11" s="1"/>
      <c r="F11" s="1"/>
      <c r="G11" s="1"/>
      <c r="H11" s="1"/>
    </row>
    <row r="12" spans="1:8">
      <c r="A12" s="10">
        <v>24.89375</v>
      </c>
      <c r="B12" s="11">
        <v>0.41193</v>
      </c>
      <c r="C12" s="1"/>
      <c r="D12" s="1"/>
      <c r="E12" s="1"/>
      <c r="F12" s="1"/>
      <c r="G12" s="1"/>
      <c r="H12" s="1"/>
    </row>
    <row r="13" spans="1:8">
      <c r="A13" s="10">
        <v>29.89183</v>
      </c>
      <c r="B13" s="11">
        <v>0.40747</v>
      </c>
      <c r="C13" s="1"/>
      <c r="D13" s="1"/>
      <c r="E13" s="1"/>
      <c r="F13" s="1"/>
      <c r="G13" s="1"/>
      <c r="H13" s="1"/>
    </row>
    <row r="14" spans="1:8">
      <c r="A14" s="12">
        <v>4.96928</v>
      </c>
      <c r="B14" s="13">
        <v>0.15664</v>
      </c>
      <c r="C14" s="1"/>
      <c r="D14" s="1"/>
      <c r="E14" s="1"/>
      <c r="F14" s="1"/>
      <c r="G14" s="1"/>
      <c r="H14" s="1"/>
    </row>
    <row r="15" spans="1:8">
      <c r="A15" s="12">
        <v>9.95711</v>
      </c>
      <c r="B15" s="13">
        <v>0.53682</v>
      </c>
      <c r="C15" s="1"/>
      <c r="D15" s="1"/>
      <c r="E15" s="1"/>
      <c r="F15" s="1"/>
      <c r="G15" s="1"/>
      <c r="H15" s="1"/>
    </row>
    <row r="16" spans="1:8">
      <c r="A16" s="12">
        <v>14.926</v>
      </c>
      <c r="B16" s="13">
        <v>0.72188</v>
      </c>
      <c r="C16" s="1"/>
      <c r="D16" s="1"/>
      <c r="E16" s="1"/>
      <c r="F16" s="1"/>
      <c r="G16" s="1"/>
      <c r="H16" s="1"/>
    </row>
    <row r="17" spans="1:8">
      <c r="A17" s="12">
        <v>19.91427</v>
      </c>
      <c r="B17" s="13">
        <v>0.82891</v>
      </c>
      <c r="C17" s="1"/>
      <c r="D17" s="1"/>
      <c r="E17" s="1"/>
      <c r="F17" s="1"/>
      <c r="G17" s="1"/>
      <c r="H17" s="1"/>
    </row>
    <row r="18" spans="1:8">
      <c r="A18" s="12">
        <v>24.8542</v>
      </c>
      <c r="B18" s="13">
        <v>1.05299</v>
      </c>
      <c r="C18" s="1"/>
      <c r="D18" s="1"/>
      <c r="E18" s="1"/>
      <c r="F18" s="1"/>
      <c r="G18" s="1"/>
      <c r="H18" s="1"/>
    </row>
    <row r="19" spans="1:8">
      <c r="A19" s="12">
        <v>29.84258</v>
      </c>
      <c r="B19" s="13">
        <v>1.09312</v>
      </c>
      <c r="C19" s="1"/>
      <c r="D19" s="1"/>
      <c r="E19" s="1"/>
      <c r="F19" s="1"/>
      <c r="G19" s="1"/>
      <c r="H19" s="1"/>
    </row>
    <row r="20" spans="1:8">
      <c r="A20" s="14">
        <v>4.99739</v>
      </c>
      <c r="B20" s="15">
        <v>0.64163</v>
      </c>
      <c r="C20" s="1"/>
      <c r="D20" s="1"/>
      <c r="E20" s="1"/>
      <c r="F20" s="1"/>
      <c r="G20" s="1"/>
      <c r="H20" s="1"/>
    </row>
    <row r="21" spans="1:5">
      <c r="A21" s="14">
        <v>9.93711</v>
      </c>
      <c r="B21" s="15">
        <v>0.99949</v>
      </c>
      <c r="D21" s="1" t="s">
        <v>3</v>
      </c>
      <c r="E21" s="1" t="s">
        <v>4</v>
      </c>
    </row>
    <row r="22" spans="1:5">
      <c r="A22" s="14">
        <v>14.94456</v>
      </c>
      <c r="B22" s="15">
        <v>1.1567</v>
      </c>
      <c r="D22" s="1">
        <v>0</v>
      </c>
      <c r="E22" s="1">
        <v>0.47273</v>
      </c>
    </row>
    <row r="23" spans="1:5">
      <c r="A23" s="14">
        <v>19.88386</v>
      </c>
      <c r="B23" s="15">
        <v>1.77099</v>
      </c>
      <c r="D23" s="1">
        <v>1.2</v>
      </c>
      <c r="E23" s="1">
        <v>0.26433</v>
      </c>
    </row>
    <row r="24" spans="1:5">
      <c r="A24" s="14">
        <v>24.85299</v>
      </c>
      <c r="B24" s="15">
        <v>1.80555</v>
      </c>
      <c r="D24" s="1">
        <v>2.2</v>
      </c>
      <c r="E24" s="1">
        <v>0.13996</v>
      </c>
    </row>
    <row r="25" spans="1:5">
      <c r="A25" s="14">
        <v>29.85065</v>
      </c>
      <c r="B25" s="15">
        <v>2.06309</v>
      </c>
      <c r="D25" s="1">
        <v>2.4</v>
      </c>
      <c r="E25" s="1">
        <v>0.06594</v>
      </c>
    </row>
    <row r="26" spans="1:5">
      <c r="A26" s="4">
        <v>4.95926</v>
      </c>
      <c r="B26" s="16">
        <v>0.39634</v>
      </c>
      <c r="D26" s="1">
        <v>2.6</v>
      </c>
      <c r="E26" s="1">
        <v>0.03311</v>
      </c>
    </row>
    <row r="27" spans="1:5">
      <c r="A27" s="4">
        <v>9.92701</v>
      </c>
      <c r="B27" s="16">
        <v>1.28936</v>
      </c>
      <c r="D27" s="1">
        <v>2.8</v>
      </c>
      <c r="E27" s="1">
        <v>0.01085</v>
      </c>
    </row>
    <row r="28" spans="1:5">
      <c r="A28" s="4">
        <v>14.91437</v>
      </c>
      <c r="B28" s="16">
        <v>1.96499</v>
      </c>
      <c r="D28" s="1">
        <v>3.2</v>
      </c>
      <c r="E28" s="1">
        <v>0.00807</v>
      </c>
    </row>
    <row r="29" spans="1:2">
      <c r="A29" s="4">
        <v>19.88222</v>
      </c>
      <c r="B29" s="16">
        <v>2.79669</v>
      </c>
    </row>
    <row r="30" spans="1:2">
      <c r="A30" s="4">
        <v>24.84085</v>
      </c>
      <c r="B30" s="16">
        <v>3.37197</v>
      </c>
    </row>
    <row r="31" spans="1:2">
      <c r="A31" s="4">
        <v>29.83738</v>
      </c>
      <c r="B31" s="16">
        <v>4.3319</v>
      </c>
    </row>
    <row r="32" spans="1:2">
      <c r="A32" s="17">
        <v>4.967</v>
      </c>
      <c r="B32" s="18">
        <v>1.57256</v>
      </c>
    </row>
    <row r="33" spans="1:2">
      <c r="A33" s="17">
        <v>9.95344</v>
      </c>
      <c r="B33" s="18">
        <v>2.82235</v>
      </c>
    </row>
    <row r="34" spans="1:2">
      <c r="A34" s="17">
        <v>14.90129</v>
      </c>
      <c r="B34" s="18">
        <v>4.11674</v>
      </c>
    </row>
    <row r="35" spans="1:2">
      <c r="A35" s="17">
        <v>19.89742</v>
      </c>
      <c r="B35" s="18">
        <v>5.32751</v>
      </c>
    </row>
    <row r="36" spans="1:2">
      <c r="A36" s="17">
        <v>24.84525</v>
      </c>
      <c r="B36" s="18">
        <v>6.62747</v>
      </c>
    </row>
    <row r="37" spans="1:2">
      <c r="A37" s="17">
        <v>29.83146</v>
      </c>
      <c r="B37" s="18">
        <v>8.0222</v>
      </c>
    </row>
    <row r="38" spans="1:2">
      <c r="A38" s="6">
        <v>4.96469</v>
      </c>
      <c r="B38" s="19">
        <v>3.01077</v>
      </c>
    </row>
    <row r="39" spans="1:2">
      <c r="A39" s="6">
        <v>9.94864</v>
      </c>
      <c r="B39" s="19">
        <v>5.81585</v>
      </c>
    </row>
    <row r="40" spans="1:2">
      <c r="A40" s="6">
        <v>14.92375</v>
      </c>
      <c r="B40" s="19">
        <v>8.11922</v>
      </c>
    </row>
    <row r="41" spans="1:2">
      <c r="A41" s="6">
        <v>19.8795</v>
      </c>
      <c r="B41" s="19">
        <v>10.48948</v>
      </c>
    </row>
    <row r="42" spans="1:2">
      <c r="A42" s="6">
        <v>24.84552</v>
      </c>
      <c r="B42" s="19">
        <v>12.45838</v>
      </c>
    </row>
    <row r="43" spans="1:2">
      <c r="A43" s="6">
        <v>29.83103</v>
      </c>
      <c r="B43" s="19">
        <v>14.28792</v>
      </c>
    </row>
  </sheetData>
  <mergeCells count="1">
    <mergeCell ref="C1:H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selection activeCell="P19" sqref="P19"/>
    </sheetView>
  </sheetViews>
  <sheetFormatPr defaultColWidth="8.88461538461539" defaultRowHeight="16.8" outlineLevelCol="7"/>
  <cols>
    <col min="1" max="1" width="17.4423076923077" customWidth="1"/>
    <col min="2" max="2" width="15.5576923076923" customWidth="1"/>
    <col min="3" max="3" width="20.3365384615385" customWidth="1"/>
    <col min="5" max="5" width="11.6153846153846"/>
    <col min="8" max="8" width="9.66346153846154"/>
  </cols>
  <sheetData>
    <row r="1" spans="1:8">
      <c r="A1" s="1" t="s">
        <v>0</v>
      </c>
      <c r="B1" s="1" t="s">
        <v>1</v>
      </c>
      <c r="C1" s="1" t="s">
        <v>2</v>
      </c>
      <c r="D1" s="1" t="str">
        <f>_xlfn.DISPIMG("ID_42E7516DB24A48CCB760696E66C4E197",1)</f>
        <v>=DISPIMG("ID_42E7516DB24A48CCB760696E66C4E197",1)</v>
      </c>
      <c r="E1" s="1"/>
      <c r="F1" s="1"/>
      <c r="G1" s="1"/>
      <c r="H1" s="1"/>
    </row>
    <row r="2" spans="1:8">
      <c r="A2" s="2">
        <v>5.01254</v>
      </c>
      <c r="B2" s="3" cm="1">
        <f t="array" ref="B2:B34">2^(C2:C34)</f>
        <v>0.270282498176743</v>
      </c>
      <c r="C2" s="3">
        <v>-1.88746</v>
      </c>
      <c r="D2" s="1"/>
      <c r="E2" s="1"/>
      <c r="F2" s="1"/>
      <c r="G2" s="1"/>
      <c r="H2" s="1"/>
    </row>
    <row r="3" spans="1:8">
      <c r="A3" s="2">
        <v>10.01812</v>
      </c>
      <c r="B3" s="3">
        <v>1.0474635199449</v>
      </c>
      <c r="C3" s="3">
        <v>0.0669</v>
      </c>
      <c r="D3" s="1"/>
      <c r="E3" s="1"/>
      <c r="F3" s="1"/>
      <c r="G3" s="1"/>
      <c r="H3" s="1"/>
    </row>
    <row r="4" spans="1:8">
      <c r="A4" s="2">
        <v>15.05007</v>
      </c>
      <c r="B4" s="3">
        <v>2.06073643755175</v>
      </c>
      <c r="C4" s="3">
        <v>1.04316</v>
      </c>
      <c r="D4" s="1"/>
      <c r="E4" s="1"/>
      <c r="F4" s="1"/>
      <c r="G4" s="1"/>
      <c r="H4" s="1"/>
    </row>
    <row r="5" spans="1:8">
      <c r="A5" s="2">
        <v>20.06089</v>
      </c>
      <c r="B5" s="3">
        <v>3.05198950261571</v>
      </c>
      <c r="C5" s="3">
        <v>1.60975</v>
      </c>
      <c r="D5" s="1"/>
      <c r="E5" s="1"/>
      <c r="F5" s="1"/>
      <c r="G5" s="1"/>
      <c r="H5" s="1"/>
    </row>
    <row r="6" spans="1:8">
      <c r="A6" s="2">
        <v>25.04969</v>
      </c>
      <c r="B6" s="3">
        <v>4.00146974197435</v>
      </c>
      <c r="C6" s="3">
        <v>2.00053</v>
      </c>
      <c r="D6" s="1"/>
      <c r="E6" s="1"/>
      <c r="F6" s="1"/>
      <c r="G6" s="1"/>
      <c r="H6" s="1"/>
    </row>
    <row r="7" spans="1:8">
      <c r="A7" s="2">
        <v>30.06123</v>
      </c>
      <c r="B7" s="3">
        <v>5.19073918649371</v>
      </c>
      <c r="C7" s="3">
        <v>2.37594</v>
      </c>
      <c r="D7" s="1"/>
      <c r="E7" s="1"/>
      <c r="F7" s="1"/>
      <c r="G7" s="1"/>
      <c r="H7" s="1"/>
    </row>
    <row r="8" spans="1:8">
      <c r="A8" s="2">
        <v>35.09584</v>
      </c>
      <c r="B8" s="3">
        <v>6.27945782201721</v>
      </c>
      <c r="C8" s="3">
        <v>2.65064</v>
      </c>
      <c r="D8" s="1"/>
      <c r="E8" s="1"/>
      <c r="F8" s="1"/>
      <c r="G8" s="1"/>
      <c r="H8" s="1"/>
    </row>
    <row r="9" spans="1:8">
      <c r="A9" s="2">
        <v>40.06242</v>
      </c>
      <c r="B9" s="3">
        <v>7.56961539446269</v>
      </c>
      <c r="C9" s="3">
        <v>2.92022</v>
      </c>
      <c r="D9" s="1"/>
      <c r="E9" s="1"/>
      <c r="F9" s="1"/>
      <c r="G9" s="1"/>
      <c r="H9" s="1"/>
    </row>
    <row r="10" spans="1:8">
      <c r="A10" s="2">
        <v>45.05177</v>
      </c>
      <c r="B10" s="3">
        <v>8.9749257282368</v>
      </c>
      <c r="C10" s="3">
        <v>3.1659</v>
      </c>
      <c r="D10" s="1"/>
      <c r="E10" s="1"/>
      <c r="F10" s="1"/>
      <c r="G10" s="1"/>
      <c r="H10" s="1"/>
    </row>
    <row r="11" spans="1:8">
      <c r="A11" s="2">
        <v>49.97322</v>
      </c>
      <c r="B11" s="3">
        <v>10.355461896095</v>
      </c>
      <c r="C11" s="3">
        <v>3.37232</v>
      </c>
      <c r="D11" s="1"/>
      <c r="E11" s="1"/>
      <c r="F11" s="1"/>
      <c r="G11" s="1"/>
      <c r="H11" s="1"/>
    </row>
    <row r="12" spans="1:8">
      <c r="A12" s="2">
        <v>55.00803</v>
      </c>
      <c r="B12" s="3">
        <v>12.0477346903862</v>
      </c>
      <c r="C12" s="3">
        <v>3.59069</v>
      </c>
      <c r="D12" s="1"/>
      <c r="E12" s="1"/>
      <c r="F12" s="1"/>
      <c r="G12" s="1"/>
      <c r="H12" s="1"/>
    </row>
    <row r="13" spans="1:8">
      <c r="A13" s="2">
        <v>60.04307</v>
      </c>
      <c r="B13" s="3">
        <v>13.4638583639816</v>
      </c>
      <c r="C13" s="3">
        <v>3.75102</v>
      </c>
      <c r="D13" s="1"/>
      <c r="E13" s="1"/>
      <c r="F13" s="1"/>
      <c r="G13" s="1"/>
      <c r="H13" s="1"/>
    </row>
    <row r="14" spans="1:8">
      <c r="A14" s="2">
        <v>65.01012</v>
      </c>
      <c r="B14" s="3">
        <v>14.8871945232482</v>
      </c>
      <c r="C14" s="3">
        <v>3.896</v>
      </c>
      <c r="D14" s="1"/>
      <c r="E14" s="1"/>
      <c r="F14" s="1"/>
      <c r="G14" s="1"/>
      <c r="H14" s="1"/>
    </row>
    <row r="15" spans="1:8">
      <c r="A15" s="4">
        <v>4.91841</v>
      </c>
      <c r="B15" s="5">
        <v>0.504214670429206</v>
      </c>
      <c r="C15" s="5">
        <v>-0.98789</v>
      </c>
      <c r="D15" s="1"/>
      <c r="E15" s="1"/>
      <c r="F15" s="1"/>
      <c r="G15" s="1"/>
      <c r="H15" s="1"/>
    </row>
    <row r="16" spans="1:8">
      <c r="A16" s="4">
        <v>9.96948</v>
      </c>
      <c r="B16" s="5">
        <v>1.90609496679674</v>
      </c>
      <c r="C16" s="5">
        <v>0.93062</v>
      </c>
      <c r="D16" s="1"/>
      <c r="E16" s="1"/>
      <c r="F16" s="1"/>
      <c r="G16" s="1"/>
      <c r="H16" s="1"/>
    </row>
    <row r="17" spans="1:8">
      <c r="A17" s="4">
        <v>14.97998</v>
      </c>
      <c r="B17" s="5">
        <v>2.99856033078458</v>
      </c>
      <c r="C17" s="5">
        <v>1.58427</v>
      </c>
      <c r="D17" s="1"/>
      <c r="E17" s="1"/>
      <c r="F17" s="1"/>
      <c r="G17" s="1"/>
      <c r="H17" s="1"/>
    </row>
    <row r="18" spans="1:8">
      <c r="A18" s="4">
        <v>19.90077</v>
      </c>
      <c r="B18" s="5">
        <v>3.90361291137672</v>
      </c>
      <c r="C18" s="5">
        <v>1.96481</v>
      </c>
      <c r="D18" s="1"/>
      <c r="E18" s="1"/>
      <c r="F18" s="1"/>
      <c r="G18" s="1"/>
      <c r="H18" s="1"/>
    </row>
    <row r="19" spans="1:3">
      <c r="A19" s="4">
        <v>24.95747</v>
      </c>
      <c r="B19" s="5">
        <v>5.25918774589085</v>
      </c>
      <c r="C19" s="5">
        <v>2.39484</v>
      </c>
    </row>
    <row r="20" spans="1:3">
      <c r="A20" s="4">
        <v>29.99166</v>
      </c>
      <c r="B20" s="5">
        <v>6.87085672758167</v>
      </c>
      <c r="C20" s="5">
        <v>2.78049</v>
      </c>
    </row>
    <row r="21" spans="1:3">
      <c r="A21" s="4">
        <v>35.02641</v>
      </c>
      <c r="B21" s="5">
        <v>8.08882416509236</v>
      </c>
      <c r="C21" s="5">
        <v>3.01593</v>
      </c>
    </row>
    <row r="22" spans="1:3">
      <c r="A22" s="4">
        <v>39.99301</v>
      </c>
      <c r="B22" s="5">
        <v>9.70467567729782</v>
      </c>
      <c r="C22" s="5">
        <v>3.27868</v>
      </c>
    </row>
    <row r="23" spans="1:3">
      <c r="A23" s="4">
        <v>45.0052</v>
      </c>
      <c r="B23" s="5">
        <v>11.1842762847961</v>
      </c>
      <c r="C23" s="5">
        <v>3.4834</v>
      </c>
    </row>
    <row r="24" spans="1:3">
      <c r="A24" s="4">
        <v>49.94939</v>
      </c>
      <c r="B24" s="5">
        <v>12.7679942336258</v>
      </c>
      <c r="C24" s="5">
        <v>3.67446</v>
      </c>
    </row>
    <row r="25" spans="1:3">
      <c r="A25" s="4">
        <v>55.02981</v>
      </c>
      <c r="B25" s="5">
        <v>14.2349941985548</v>
      </c>
      <c r="C25" s="5">
        <v>3.83137</v>
      </c>
    </row>
    <row r="26" spans="1:3">
      <c r="A26" s="6">
        <v>4.93461</v>
      </c>
      <c r="B26" s="7">
        <v>1.65394355530007</v>
      </c>
      <c r="C26" s="7">
        <v>0.72591</v>
      </c>
    </row>
    <row r="27" spans="1:3">
      <c r="A27" s="6">
        <v>9.98925</v>
      </c>
      <c r="B27" s="7">
        <v>3.25390019333566</v>
      </c>
      <c r="C27" s="7">
        <v>1.70217</v>
      </c>
    </row>
    <row r="28" spans="1:3">
      <c r="A28" s="6">
        <v>15.00015</v>
      </c>
      <c r="B28" s="7">
        <v>4.74556545187722</v>
      </c>
      <c r="C28" s="7">
        <v>2.24658</v>
      </c>
    </row>
    <row r="29" spans="1:3">
      <c r="A29" s="6">
        <v>20.01165</v>
      </c>
      <c r="B29" s="7">
        <v>6.20718867911077</v>
      </c>
      <c r="C29" s="7">
        <v>2.63394</v>
      </c>
    </row>
    <row r="30" spans="1:3">
      <c r="A30" s="6">
        <v>24.95542</v>
      </c>
      <c r="B30" s="7">
        <v>7.66167590552093</v>
      </c>
      <c r="C30" s="7">
        <v>2.93766</v>
      </c>
    </row>
    <row r="31" spans="1:3">
      <c r="A31" s="6">
        <v>29.98972</v>
      </c>
      <c r="B31" s="7">
        <v>9.79862964511583</v>
      </c>
      <c r="C31" s="7">
        <v>3.29258</v>
      </c>
    </row>
    <row r="32" spans="1:3">
      <c r="A32" s="6">
        <v>34.97909</v>
      </c>
      <c r="B32" s="7">
        <v>11.5629691750464</v>
      </c>
      <c r="C32" s="7">
        <v>3.53144</v>
      </c>
    </row>
    <row r="33" spans="1:3">
      <c r="A33" s="6">
        <v>39.96865</v>
      </c>
      <c r="B33" s="7">
        <v>13.2003108642158</v>
      </c>
      <c r="C33" s="7">
        <v>3.7225</v>
      </c>
    </row>
    <row r="34" spans="1:3">
      <c r="A34" s="6">
        <v>45.0035</v>
      </c>
      <c r="B34" s="7">
        <v>15.2849507650652</v>
      </c>
      <c r="C34" s="7">
        <v>3.93404</v>
      </c>
    </row>
  </sheetData>
  <mergeCells count="1">
    <mergeCell ref="D1:H1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7" sqref="A7"/>
    </sheetView>
  </sheetViews>
  <sheetFormatPr defaultColWidth="9.23076923076923" defaultRowHeight="16.8" outlineLevelRow="6" outlineLevelCol="4"/>
  <cols>
    <col min="1" max="1" width="22.9134615384615" customWidth="1"/>
    <col min="2" max="2" width="33.4807692307692" customWidth="1"/>
    <col min="3" max="3" width="14.0769230769231"/>
    <col min="4" max="5" width="12.9230769230769"/>
  </cols>
  <sheetData>
    <row r="1" spans="1:2">
      <c r="A1" t="s">
        <v>5</v>
      </c>
      <c r="B1" t="s">
        <v>6</v>
      </c>
    </row>
    <row r="2" spans="1:5">
      <c r="A2" cm="1">
        <f t="array" ref="A2:A7">2^D2:D7</f>
        <v>1.45995496785801</v>
      </c>
      <c r="B2" cm="1">
        <f t="array" ref="B2:B7">2^E2:E7</f>
        <v>1.22953592576549</v>
      </c>
      <c r="D2">
        <v>0.545923870030035</v>
      </c>
      <c r="E2">
        <v>0.298113889603772</v>
      </c>
    </row>
    <row r="3" spans="1:5">
      <c r="A3">
        <v>1.78390095139848</v>
      </c>
      <c r="B3">
        <v>1.8293497339934</v>
      </c>
      <c r="D3">
        <v>0.835035513860675</v>
      </c>
      <c r="E3">
        <v>0.871330915034219</v>
      </c>
    </row>
    <row r="4" spans="1:5">
      <c r="A4">
        <v>2.09627505689409</v>
      </c>
      <c r="B4">
        <v>2.08901342846584</v>
      </c>
      <c r="D4">
        <v>1.06782802850795</v>
      </c>
      <c r="E4">
        <v>1.06282176627712</v>
      </c>
    </row>
    <row r="5" spans="1:5">
      <c r="A5">
        <v>2.56585826978996</v>
      </c>
      <c r="B5">
        <v>2.75981520487226</v>
      </c>
      <c r="D5">
        <v>1.35944148254049</v>
      </c>
      <c r="E5">
        <v>1.46457166847448</v>
      </c>
    </row>
    <row r="6" spans="1:5">
      <c r="A6">
        <v>2.87966770486682</v>
      </c>
      <c r="B6">
        <v>2.76460774630438</v>
      </c>
      <c r="D6">
        <v>1.52590234354274</v>
      </c>
      <c r="E6">
        <v>1.46707479958989</v>
      </c>
    </row>
    <row r="7" spans="1:5">
      <c r="A7">
        <v>3.52167777256804</v>
      </c>
      <c r="B7">
        <v>3.89451727048068</v>
      </c>
      <c r="D7">
        <v>1.81626291110406</v>
      </c>
      <c r="E7">
        <v>1.96144451579823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gd</cp:lastModifiedBy>
  <dcterms:created xsi:type="dcterms:W3CDTF">2026-01-19T03:11:00Z</dcterms:created>
  <dcterms:modified xsi:type="dcterms:W3CDTF">2026-01-30T16:31:17Z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B6316B4546DD856C25427C69C7A31D0B_43</vt:lpwstr>
  </property>
  <property fmtid="{D5CDD505-2E9C-101B-9397-08002B2CF9AE}" pid="3" name="KSOProductBuildVer">
    <vt:lpwstr>2052-12.1.21861.21861</vt:lpwstr>
  </property>
  <property fmtid="{D5CDD505-2E9C-101B-9397-08002B2CF9AE}" pid="4" name="CalculationRule">
    <vt:i4>1</vt:i4>
  </property>
</Properties>
</file>